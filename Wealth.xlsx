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tuipied-my.sharepoint.com/personal/chananan_nop_dome_tu_ac_th/Documents/"/>
    </mc:Choice>
  </mc:AlternateContent>
  <xr:revisionPtr revIDLastSave="0" documentId="8_{52EFF10D-FC75-4D5A-8510-729CDBAECBF6}" xr6:coauthVersionLast="47" xr6:coauthVersionMax="47" xr10:uidLastSave="{00000000-0000-0000-0000-000000000000}"/>
  <bookViews>
    <workbookView xWindow="0" yWindow="0" windowWidth="28160" windowHeight="17620" firstSheet="1" xr2:uid="{8FE3F3B1-70CA-5949-855C-7BF5FCA7C3EF}"/>
  </bookViews>
  <sheets>
    <sheet name="Final (R.1)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2" l="1"/>
  <c r="E15" i="2" s="1"/>
  <c r="F14" i="2"/>
  <c r="E14" i="2" s="1"/>
  <c r="F12" i="2"/>
  <c r="E12" i="2" s="1"/>
  <c r="F8" i="2"/>
  <c r="E8" i="2" s="1"/>
  <c r="F10" i="2"/>
  <c r="E10" i="2" s="1"/>
  <c r="F9" i="2"/>
  <c r="E9" i="2" s="1"/>
  <c r="F7" i="2"/>
  <c r="E7" i="2" s="1"/>
  <c r="F6" i="2"/>
  <c r="E6" i="2" s="1"/>
  <c r="F16" i="2"/>
  <c r="E16" i="2" s="1"/>
  <c r="F17" i="2"/>
  <c r="D15" i="1"/>
  <c r="H28" i="1"/>
  <c r="H27" i="1"/>
  <c r="H16" i="1"/>
  <c r="H21" i="1"/>
  <c r="H14" i="1"/>
  <c r="H19" i="1"/>
  <c r="H20" i="1"/>
  <c r="D29" i="1"/>
  <c r="D20" i="1"/>
  <c r="D18" i="1"/>
  <c r="D14" i="1"/>
  <c r="D28" i="1"/>
  <c r="D17" i="1"/>
  <c r="D27" i="1"/>
  <c r="D16" i="1"/>
  <c r="D22" i="1"/>
  <c r="D21" i="1"/>
  <c r="D19" i="1"/>
  <c r="D13" i="1"/>
</calcChain>
</file>

<file path=xl/sharedStrings.xml><?xml version="1.0" encoding="utf-8"?>
<sst xmlns="http://schemas.openxmlformats.org/spreadsheetml/2006/main" count="131" uniqueCount="56">
  <si>
    <t>**ราคาสิ้นสุดวันที่ 12 June 2026**</t>
  </si>
  <si>
    <t>Cash (PV)</t>
  </si>
  <si>
    <t>Bath</t>
  </si>
  <si>
    <t>Exchange rate</t>
  </si>
  <si>
    <t>Detail</t>
  </si>
  <si>
    <t>Percentage</t>
  </si>
  <si>
    <t>ราคาต่อหน่วย</t>
  </si>
  <si>
    <t>จำนวนหน่วย</t>
  </si>
  <si>
    <t>มูลค่ารวม</t>
  </si>
  <si>
    <t>Divident yield</t>
  </si>
  <si>
    <t>เงินปันผลต่อปี</t>
  </si>
  <si>
    <t>ความถี่ในการปันผล</t>
  </si>
  <si>
    <t>Theme</t>
  </si>
  <si>
    <t>เหตุผล</t>
  </si>
  <si>
    <t>US Stock</t>
  </si>
  <si>
    <t>NVDA</t>
  </si>
  <si>
    <t>3M</t>
  </si>
  <si>
    <t>Tech</t>
  </si>
  <si>
    <t>7 นางฟ้า</t>
  </si>
  <si>
    <t>TSM</t>
  </si>
  <si>
    <t>คอขวด AI</t>
  </si>
  <si>
    <t>BE</t>
  </si>
  <si>
    <t>not-availble</t>
  </si>
  <si>
    <t>Energy</t>
  </si>
  <si>
    <t>ผลิตพลังงาน</t>
  </si>
  <si>
    <t>LLY</t>
  </si>
  <si>
    <t>Pharma</t>
  </si>
  <si>
    <t>Growth</t>
  </si>
  <si>
    <t>JNJ</t>
  </si>
  <si>
    <t>Defensive stock</t>
  </si>
  <si>
    <t>US Fund</t>
  </si>
  <si>
    <t xml:space="preserve">VOO </t>
  </si>
  <si>
    <t>ETF (S&amp;P500)</t>
  </si>
  <si>
    <t>VOO เสี่ยงต่ำกว่า SPY เนื่องจากลงกระจายกว่า</t>
  </si>
  <si>
    <t>Thai Stock</t>
  </si>
  <si>
    <t>Advance</t>
  </si>
  <si>
    <t>Telecom</t>
  </si>
  <si>
    <t>SCB</t>
  </si>
  <si>
    <t>6M</t>
  </si>
  <si>
    <t>Finance</t>
  </si>
  <si>
    <t>Gold (99.99)</t>
  </si>
  <si>
    <t>-</t>
  </si>
  <si>
    <t>Cash</t>
  </si>
  <si>
    <t>Gold</t>
  </si>
  <si>
    <t>Global / US Equity</t>
  </si>
  <si>
    <t>Thai Equity</t>
  </si>
  <si>
    <t>Team</t>
  </si>
  <si>
    <t>SPCX</t>
  </si>
  <si>
    <t>ไม่จ่ายปันผล</t>
  </si>
  <si>
    <t>หุ้นซิ่ง</t>
  </si>
  <si>
    <t>GOOG</t>
  </si>
  <si>
    <t>PLTR</t>
  </si>
  <si>
    <t>CRWV</t>
  </si>
  <si>
    <t xml:space="preserve">GEV </t>
  </si>
  <si>
    <t>SPY</t>
  </si>
  <si>
    <t>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</si>
</sst>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* #,##0.00_);_(* \(#,##0.00\);_(* &quot;-&quot;??_);_(@_)"/>
    <numFmt numFmtId="188" formatCode="_(* #,##0_);_(* \(#,##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8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9" fontId="2" fillId="0" borderId="0" xfId="0" applyNumberFormat="1" applyFont="1"/>
    <xf numFmtId="9" fontId="2" fillId="0" borderId="0" xfId="2" applyFont="1"/>
    <xf numFmtId="187" fontId="2" fillId="0" borderId="0" xfId="1" applyFont="1"/>
    <xf numFmtId="187" fontId="2" fillId="0" borderId="0" xfId="0" applyNumberFormat="1" applyFont="1"/>
    <xf numFmtId="0" fontId="2" fillId="2" borderId="0" xfId="0" applyFont="1" applyFill="1"/>
    <xf numFmtId="188" fontId="2" fillId="2" borderId="0" xfId="1" applyNumberFormat="1" applyFont="1" applyFill="1"/>
    <xf numFmtId="0" fontId="2" fillId="3" borderId="0" xfId="0" applyFont="1" applyFill="1"/>
    <xf numFmtId="0" fontId="3" fillId="0" borderId="0" xfId="0" applyFont="1"/>
    <xf numFmtId="187" fontId="2" fillId="2" borderId="0" xfId="1" applyFont="1" applyFill="1"/>
    <xf numFmtId="0" fontId="2" fillId="3" borderId="0" xfId="0" applyFont="1" applyFill="1" applyAlignment="1">
      <alignment horizontal="center"/>
    </xf>
    <xf numFmtId="10" fontId="2" fillId="0" borderId="0" xfId="0" applyNumberFormat="1" applyFont="1"/>
    <xf numFmtId="0" fontId="3" fillId="4" borderId="0" xfId="0" applyFont="1" applyFill="1"/>
    <xf numFmtId="0" fontId="4" fillId="4" borderId="0" xfId="0" applyFont="1" applyFill="1"/>
    <xf numFmtId="10" fontId="2" fillId="0" borderId="0" xfId="2" applyNumberFormat="1" applyFont="1"/>
    <xf numFmtId="0" fontId="2" fillId="5" borderId="0" xfId="0" applyFont="1" applyFill="1"/>
    <xf numFmtId="187" fontId="2" fillId="5" borderId="0" xfId="0" applyNumberFormat="1" applyFont="1" applyFill="1"/>
    <xf numFmtId="9" fontId="2" fillId="2" borderId="0" xfId="2" applyFont="1" applyFill="1"/>
    <xf numFmtId="0" fontId="3" fillId="5" borderId="0" xfId="0" applyFont="1" applyFill="1"/>
    <xf numFmtId="9" fontId="2" fillId="5" borderId="0" xfId="0" applyNumberFormat="1" applyFont="1" applyFill="1"/>
    <xf numFmtId="188" fontId="2" fillId="5" borderId="0" xfId="0" applyNumberFormat="1" applyFont="1" applyFill="1"/>
    <xf numFmtId="10" fontId="2" fillId="5" borderId="0" xfId="2" applyNumberFormat="1" applyFont="1" applyFill="1"/>
    <xf numFmtId="187" fontId="2" fillId="5" borderId="0" xfId="1" applyFont="1" applyFill="1"/>
    <xf numFmtId="10" fontId="2" fillId="0" borderId="0" xfId="2" applyNumberFormat="1" applyFont="1" applyFill="1"/>
    <xf numFmtId="0" fontId="2" fillId="4" borderId="0" xfId="0" applyFont="1" applyFill="1"/>
    <xf numFmtId="0" fontId="5" fillId="0" borderId="0" xfId="0" applyFont="1"/>
    <xf numFmtId="9" fontId="5" fillId="0" borderId="0" xfId="2" applyFont="1"/>
    <xf numFmtId="0" fontId="5" fillId="2" borderId="0" xfId="0" applyFont="1" applyFill="1"/>
    <xf numFmtId="188" fontId="5" fillId="2" borderId="0" xfId="1" applyNumberFormat="1" applyFont="1" applyFill="1"/>
    <xf numFmtId="9" fontId="5" fillId="2" borderId="0" xfId="2" applyFont="1" applyFill="1"/>
    <xf numFmtId="187" fontId="5" fillId="2" borderId="0" xfId="1" applyFont="1" applyFill="1"/>
    <xf numFmtId="0" fontId="5" fillId="3" borderId="0" xfId="0" applyFont="1" applyFill="1"/>
    <xf numFmtId="0" fontId="5" fillId="4" borderId="0" xfId="0" applyFont="1" applyFill="1"/>
    <xf numFmtId="10" fontId="5" fillId="0" borderId="0" xfId="2" applyNumberFormat="1" applyFont="1"/>
    <xf numFmtId="187" fontId="5" fillId="0" borderId="0" xfId="1" applyFont="1"/>
    <xf numFmtId="0" fontId="5" fillId="0" borderId="0" xfId="0" applyFont="1" applyAlignment="1">
      <alignment horizontal="left"/>
    </xf>
    <xf numFmtId="0" fontId="5" fillId="4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9" fontId="5" fillId="4" borderId="0" xfId="2" applyFont="1" applyFill="1"/>
    <xf numFmtId="187" fontId="5" fillId="4" borderId="0" xfId="1" applyFont="1" applyFill="1"/>
    <xf numFmtId="10" fontId="5" fillId="4" borderId="0" xfId="2" applyNumberFormat="1" applyFont="1" applyFill="1"/>
    <xf numFmtId="0" fontId="2" fillId="4" borderId="0" xfId="0" applyFont="1" applyFill="1" applyAlignment="1">
      <alignment horizontal="left"/>
    </xf>
    <xf numFmtId="9" fontId="2" fillId="4" borderId="0" xfId="0" applyNumberFormat="1" applyFont="1" applyFill="1"/>
    <xf numFmtId="0" fontId="5" fillId="3" borderId="0" xfId="0" applyFont="1" applyFill="1" applyAlignment="1">
      <alignment horizontal="center"/>
    </xf>
    <xf numFmtId="188" fontId="5" fillId="0" borderId="0" xfId="0" applyNumberFormat="1" applyFont="1"/>
    <xf numFmtId="188" fontId="5" fillId="0" borderId="0" xfId="1" applyNumberFormat="1" applyFont="1"/>
    <xf numFmtId="188" fontId="5" fillId="4" borderId="0" xfId="1" applyNumberFormat="1" applyFont="1" applyFill="1"/>
    <xf numFmtId="188" fontId="2" fillId="4" borderId="0" xfId="1" applyNumberFormat="1" applyFont="1" applyFill="1"/>
    <xf numFmtId="10" fontId="2" fillId="6" borderId="0" xfId="2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5406C-1717-E24B-B218-56A407877C99}">
  <dimension ref="A1:K17"/>
  <sheetViews>
    <sheetView tabSelected="1" zoomScale="120" zoomScaleNormal="120" workbookViewId="0">
      <selection activeCell="D27" sqref="D27"/>
    </sheetView>
  </sheetViews>
  <sheetFormatPr defaultColWidth="10.875" defaultRowHeight="14.1"/>
  <cols>
    <col min="1" max="1" width="4.5" style="36" customWidth="1"/>
    <col min="2" max="2" width="10.875" style="26"/>
    <col min="3" max="3" width="12.125" style="26" customWidth="1"/>
    <col min="4" max="8" width="10.875" style="26"/>
    <col min="9" max="9" width="15" style="26" customWidth="1"/>
    <col min="10" max="10" width="10.875" style="26"/>
    <col min="11" max="11" width="32.875" style="26" customWidth="1"/>
    <col min="12" max="16384" width="10.875" style="26"/>
  </cols>
  <sheetData>
    <row r="1" spans="1:11">
      <c r="D1" s="9" t="s">
        <v>0</v>
      </c>
      <c r="J1" s="27"/>
    </row>
    <row r="2" spans="1:11">
      <c r="A2" s="39"/>
      <c r="B2" s="28" t="s">
        <v>1</v>
      </c>
      <c r="C2" s="29">
        <v>100000000</v>
      </c>
      <c r="D2" s="29" t="s">
        <v>2</v>
      </c>
      <c r="E2" s="28"/>
      <c r="F2" s="28"/>
      <c r="G2" s="28"/>
      <c r="H2" s="28"/>
      <c r="I2" s="28"/>
      <c r="J2" s="30"/>
      <c r="K2" s="28"/>
    </row>
    <row r="3" spans="1:11">
      <c r="A3" s="39"/>
      <c r="B3" s="28" t="s">
        <v>3</v>
      </c>
      <c r="C3" s="31">
        <v>32.9</v>
      </c>
      <c r="D3" s="29"/>
      <c r="E3" s="28"/>
      <c r="F3" s="28"/>
      <c r="G3" s="28"/>
      <c r="H3" s="28"/>
      <c r="I3" s="28"/>
      <c r="J3" s="30"/>
      <c r="K3" s="28"/>
    </row>
    <row r="4" spans="1:11">
      <c r="A4" s="40"/>
      <c r="B4" s="32" t="s">
        <v>4</v>
      </c>
      <c r="C4" s="46" t="s">
        <v>5</v>
      </c>
      <c r="D4" s="32" t="s">
        <v>6</v>
      </c>
      <c r="E4" s="32" t="s">
        <v>7</v>
      </c>
      <c r="F4" s="32" t="s">
        <v>8</v>
      </c>
      <c r="G4" s="32" t="s">
        <v>9</v>
      </c>
      <c r="H4" s="32" t="s">
        <v>10</v>
      </c>
      <c r="I4" s="32" t="s">
        <v>11</v>
      </c>
      <c r="J4" s="32" t="s">
        <v>12</v>
      </c>
      <c r="K4" s="32" t="s">
        <v>13</v>
      </c>
    </row>
    <row r="5" spans="1:11">
      <c r="A5" s="37"/>
      <c r="B5" s="13" t="s">
        <v>14</v>
      </c>
      <c r="C5" s="41">
        <v>0.5</v>
      </c>
      <c r="D5" s="42"/>
      <c r="E5" s="49"/>
      <c r="F5" s="33"/>
      <c r="G5" s="43"/>
      <c r="H5" s="33"/>
      <c r="I5" s="33"/>
      <c r="J5" s="33"/>
      <c r="K5" s="33"/>
    </row>
    <row r="6" spans="1:11">
      <c r="A6" s="36">
        <v>1</v>
      </c>
      <c r="B6" s="26" t="s">
        <v>15</v>
      </c>
      <c r="C6" s="27">
        <v>0.2</v>
      </c>
      <c r="D6" s="35">
        <v>6750.7509999999993</v>
      </c>
      <c r="E6" s="48">
        <f>F6/D6</f>
        <v>2962.6333425718121</v>
      </c>
      <c r="F6" s="47">
        <f>C6*$C$2</f>
        <v>20000000</v>
      </c>
      <c r="G6" s="34">
        <v>1.4E-3</v>
      </c>
      <c r="H6" s="35">
        <v>9.2119999999999997</v>
      </c>
      <c r="I6" s="26" t="s">
        <v>16</v>
      </c>
      <c r="J6" s="26" t="s">
        <v>17</v>
      </c>
      <c r="K6" s="26" t="s">
        <v>18</v>
      </c>
    </row>
    <row r="7" spans="1:11">
      <c r="A7" s="36">
        <v>2</v>
      </c>
      <c r="B7" s="26" t="s">
        <v>19</v>
      </c>
      <c r="C7" s="27">
        <v>0.1</v>
      </c>
      <c r="D7" s="35">
        <v>13947.297</v>
      </c>
      <c r="E7" s="48">
        <f>F7/D7</f>
        <v>716.98480357878657</v>
      </c>
      <c r="F7" s="47">
        <f>C7*$C$2</f>
        <v>10000000</v>
      </c>
      <c r="G7" s="34">
        <v>8.3000000000000001E-3</v>
      </c>
      <c r="H7" s="35">
        <v>115.47899999999998</v>
      </c>
      <c r="I7" s="26" t="s">
        <v>16</v>
      </c>
      <c r="J7" s="26" t="s">
        <v>17</v>
      </c>
      <c r="K7" s="26" t="s">
        <v>20</v>
      </c>
    </row>
    <row r="8" spans="1:11">
      <c r="A8" s="36">
        <v>3</v>
      </c>
      <c r="B8" s="26" t="s">
        <v>21</v>
      </c>
      <c r="C8" s="27">
        <v>0.1</v>
      </c>
      <c r="D8" s="35">
        <v>8561.2380000000012</v>
      </c>
      <c r="E8" s="48">
        <f>F8/D8</f>
        <v>1168.0553676933171</v>
      </c>
      <c r="F8" s="47">
        <f>C8*$C$2</f>
        <v>10000000</v>
      </c>
      <c r="G8" s="34">
        <v>0</v>
      </c>
      <c r="H8" s="35">
        <v>0</v>
      </c>
      <c r="I8" s="26" t="s">
        <v>22</v>
      </c>
      <c r="J8" s="26" t="s">
        <v>23</v>
      </c>
      <c r="K8" s="26" t="s">
        <v>24</v>
      </c>
    </row>
    <row r="9" spans="1:11">
      <c r="A9" s="36">
        <v>4</v>
      </c>
      <c r="B9" s="26" t="s">
        <v>25</v>
      </c>
      <c r="C9" s="27">
        <v>0.05</v>
      </c>
      <c r="D9" s="35">
        <v>37275.699999999997</v>
      </c>
      <c r="E9" s="48">
        <f>F9/D9</f>
        <v>134.13564332795897</v>
      </c>
      <c r="F9" s="47">
        <f>C9*$C$2</f>
        <v>5000000</v>
      </c>
      <c r="G9" s="34">
        <v>5.5999999999999999E-3</v>
      </c>
      <c r="H9" s="35">
        <v>212.53399999999999</v>
      </c>
      <c r="I9" s="26" t="s">
        <v>16</v>
      </c>
      <c r="J9" s="26" t="s">
        <v>26</v>
      </c>
      <c r="K9" s="26" t="s">
        <v>27</v>
      </c>
    </row>
    <row r="10" spans="1:11">
      <c r="A10" s="36">
        <v>5</v>
      </c>
      <c r="B10" s="26" t="s">
        <v>28</v>
      </c>
      <c r="C10" s="27">
        <v>0.05</v>
      </c>
      <c r="D10" s="35">
        <v>7924.6229999999996</v>
      </c>
      <c r="E10" s="48">
        <f>F10/D10</f>
        <v>630.9448411615291</v>
      </c>
      <c r="F10" s="47">
        <f>C10*$C$2</f>
        <v>5000000</v>
      </c>
      <c r="G10" s="34">
        <v>2.1999999999999999E-2</v>
      </c>
      <c r="H10" s="35">
        <v>172.39599999999999</v>
      </c>
      <c r="I10" s="26" t="s">
        <v>16</v>
      </c>
      <c r="J10" s="26" t="s">
        <v>26</v>
      </c>
      <c r="K10" s="26" t="s">
        <v>29</v>
      </c>
    </row>
    <row r="11" spans="1:11">
      <c r="A11" s="37"/>
      <c r="B11" s="13" t="s">
        <v>30</v>
      </c>
      <c r="C11" s="41">
        <v>0.15</v>
      </c>
      <c r="D11" s="42"/>
      <c r="E11" s="49"/>
      <c r="F11" s="33"/>
      <c r="G11" s="43"/>
      <c r="H11" s="42"/>
      <c r="I11" s="33"/>
      <c r="J11" s="33"/>
      <c r="K11" s="33"/>
    </row>
    <row r="12" spans="1:11">
      <c r="A12" s="36">
        <v>6</v>
      </c>
      <c r="B12" s="26" t="s">
        <v>31</v>
      </c>
      <c r="C12" s="27">
        <v>0.15</v>
      </c>
      <c r="D12" s="35">
        <v>22436.154999999999</v>
      </c>
      <c r="E12" s="48">
        <f>F12/D12</f>
        <v>668.56375345953893</v>
      </c>
      <c r="F12" s="47">
        <f>C12*$C$2</f>
        <v>15000000</v>
      </c>
      <c r="G12" s="34">
        <v>1.0500000000000001E-2</v>
      </c>
      <c r="H12" s="35">
        <v>234.577</v>
      </c>
      <c r="I12" s="26" t="s">
        <v>16</v>
      </c>
      <c r="J12" s="26" t="s">
        <v>32</v>
      </c>
      <c r="K12" s="26" t="s">
        <v>33</v>
      </c>
    </row>
    <row r="13" spans="1:11" s="1" customFormat="1">
      <c r="A13" s="44"/>
      <c r="B13" s="13" t="s">
        <v>34</v>
      </c>
      <c r="C13" s="45">
        <v>0.1</v>
      </c>
      <c r="D13" s="25"/>
      <c r="E13" s="50"/>
      <c r="F13" s="25"/>
      <c r="G13" s="25"/>
      <c r="H13" s="25"/>
      <c r="I13" s="25"/>
      <c r="J13" s="25"/>
      <c r="K13" s="25"/>
    </row>
    <row r="14" spans="1:11" s="1" customFormat="1">
      <c r="A14" s="38">
        <v>7</v>
      </c>
      <c r="B14" s="1" t="s">
        <v>35</v>
      </c>
      <c r="C14" s="3">
        <v>0.05</v>
      </c>
      <c r="D14" s="4">
        <v>366</v>
      </c>
      <c r="E14" s="48">
        <f>F14/D14</f>
        <v>13661.20218579235</v>
      </c>
      <c r="F14" s="47">
        <f>C14*$C$2</f>
        <v>5000000</v>
      </c>
      <c r="G14" s="12">
        <v>9.5299999999999996E-2</v>
      </c>
      <c r="J14" s="1" t="s">
        <v>36</v>
      </c>
    </row>
    <row r="15" spans="1:11" s="1" customFormat="1">
      <c r="A15" s="38">
        <v>8</v>
      </c>
      <c r="B15" s="1" t="s">
        <v>37</v>
      </c>
      <c r="C15" s="3">
        <v>0.05</v>
      </c>
      <c r="D15" s="4">
        <v>140</v>
      </c>
      <c r="E15" s="48">
        <f>F15/D15</f>
        <v>35714.285714285717</v>
      </c>
      <c r="F15" s="47">
        <f>C15*$C$2</f>
        <v>5000000</v>
      </c>
      <c r="G15" s="15">
        <v>8.0600000000000005E-2</v>
      </c>
      <c r="I15" s="1" t="s">
        <v>38</v>
      </c>
      <c r="J15" s="1" t="s">
        <v>39</v>
      </c>
    </row>
    <row r="16" spans="1:11">
      <c r="A16" s="36">
        <v>9</v>
      </c>
      <c r="B16" s="9" t="s">
        <v>40</v>
      </c>
      <c r="C16" s="27">
        <v>0.15</v>
      </c>
      <c r="D16" s="35">
        <v>67840</v>
      </c>
      <c r="E16" s="48">
        <f>F16/D16</f>
        <v>221.10849056603774</v>
      </c>
      <c r="F16" s="47">
        <f>C16*$C$2</f>
        <v>15000000</v>
      </c>
      <c r="G16" s="34" t="s">
        <v>41</v>
      </c>
      <c r="H16" s="26" t="s">
        <v>41</v>
      </c>
      <c r="I16" s="26" t="s">
        <v>41</v>
      </c>
      <c r="J16" s="26" t="s">
        <v>41</v>
      </c>
      <c r="K16" s="26" t="s">
        <v>41</v>
      </c>
    </row>
    <row r="17" spans="1:11">
      <c r="A17" s="36">
        <v>10</v>
      </c>
      <c r="B17" s="9" t="s">
        <v>42</v>
      </c>
      <c r="C17" s="27">
        <v>0.1</v>
      </c>
      <c r="D17" s="35"/>
      <c r="E17" s="48"/>
      <c r="F17" s="47">
        <f>C17*$C$2</f>
        <v>10000000</v>
      </c>
      <c r="G17" s="34" t="s">
        <v>41</v>
      </c>
      <c r="H17" s="26" t="s">
        <v>41</v>
      </c>
      <c r="I17" s="26" t="s">
        <v>41</v>
      </c>
      <c r="J17" s="26" t="s">
        <v>41</v>
      </c>
      <c r="K17" s="2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5BB5-6555-8C4F-8C9C-52B00A4AEEF8}">
  <dimension ref="A1:K32"/>
  <sheetViews>
    <sheetView zoomScale="113" zoomScaleNormal="130" workbookViewId="0">
      <selection activeCell="E3" sqref="E3"/>
    </sheetView>
  </sheetViews>
  <sheetFormatPr defaultColWidth="10.875" defaultRowHeight="14.1"/>
  <cols>
    <col min="1" max="1" width="4" style="1" customWidth="1"/>
    <col min="2" max="2" width="15.5" style="1" customWidth="1"/>
    <col min="3" max="3" width="13" style="1" bestFit="1" customWidth="1"/>
    <col min="4" max="4" width="13" style="1" customWidth="1"/>
    <col min="5" max="5" width="17.125" style="1" customWidth="1"/>
    <col min="6" max="6" width="16" style="1" customWidth="1"/>
    <col min="7" max="7" width="10.875" style="1"/>
    <col min="8" max="8" width="12.375" style="1" customWidth="1"/>
    <col min="9" max="9" width="16" style="1" customWidth="1"/>
    <col min="10" max="10" width="10.875" style="1"/>
    <col min="11" max="11" width="13.375" style="1" customWidth="1"/>
    <col min="12" max="16384" width="10.875" style="1"/>
  </cols>
  <sheetData>
    <row r="1" spans="1:11">
      <c r="B1" s="1" t="s">
        <v>43</v>
      </c>
      <c r="C1" s="2">
        <v>0.15</v>
      </c>
      <c r="D1" s="2"/>
    </row>
    <row r="2" spans="1:11">
      <c r="B2" s="1" t="s">
        <v>44</v>
      </c>
      <c r="C2" s="2">
        <v>0.65</v>
      </c>
      <c r="D2" s="2"/>
    </row>
    <row r="3" spans="1:11">
      <c r="B3" s="1" t="s">
        <v>45</v>
      </c>
      <c r="C3" s="2">
        <v>0.1</v>
      </c>
      <c r="D3" s="2"/>
    </row>
    <row r="4" spans="1:11">
      <c r="B4" s="1" t="s">
        <v>42</v>
      </c>
      <c r="C4" s="2">
        <v>0.1</v>
      </c>
      <c r="D4" s="2"/>
    </row>
    <row r="6" spans="1:11">
      <c r="D6" s="1" t="s">
        <v>0</v>
      </c>
      <c r="J6" s="3"/>
    </row>
    <row r="7" spans="1:11">
      <c r="B7" s="6" t="s">
        <v>1</v>
      </c>
      <c r="C7" s="7">
        <v>100000000</v>
      </c>
      <c r="D7" s="7" t="s">
        <v>2</v>
      </c>
      <c r="E7" s="6"/>
      <c r="F7" s="6"/>
      <c r="G7" s="6"/>
      <c r="H7" s="6"/>
      <c r="I7" s="6"/>
      <c r="J7" s="18"/>
    </row>
    <row r="8" spans="1:11">
      <c r="B8" s="6" t="s">
        <v>3</v>
      </c>
      <c r="C8" s="10">
        <v>32.9</v>
      </c>
      <c r="D8" s="7"/>
      <c r="E8" s="6"/>
      <c r="F8" s="6"/>
      <c r="G8" s="6"/>
      <c r="H8" s="6"/>
      <c r="I8" s="6"/>
      <c r="J8" s="18"/>
    </row>
    <row r="9" spans="1:11">
      <c r="B9" s="8" t="s">
        <v>4</v>
      </c>
      <c r="C9" s="11" t="s">
        <v>5</v>
      </c>
      <c r="D9" s="8" t="s">
        <v>6</v>
      </c>
      <c r="E9" s="8" t="s">
        <v>7</v>
      </c>
      <c r="F9" s="8" t="s">
        <v>8</v>
      </c>
      <c r="G9" s="8" t="s">
        <v>9</v>
      </c>
      <c r="H9" s="8" t="s">
        <v>10</v>
      </c>
      <c r="I9" s="8" t="s">
        <v>11</v>
      </c>
      <c r="J9" s="8" t="s">
        <v>46</v>
      </c>
      <c r="K9" s="1" t="s">
        <v>13</v>
      </c>
    </row>
    <row r="10" spans="1:11" s="16" customFormat="1">
      <c r="A10" s="16">
        <v>1</v>
      </c>
      <c r="B10" s="19" t="s">
        <v>42</v>
      </c>
      <c r="C10" s="20">
        <v>0.1</v>
      </c>
      <c r="D10" s="20"/>
      <c r="E10" s="21"/>
      <c r="G10" s="22"/>
    </row>
    <row r="11" spans="1:11" s="16" customFormat="1">
      <c r="A11" s="16">
        <v>2</v>
      </c>
      <c r="B11" s="19" t="s">
        <v>40</v>
      </c>
      <c r="C11" s="20">
        <v>0.15</v>
      </c>
      <c r="D11" s="23">
        <v>67840</v>
      </c>
      <c r="E11" s="21"/>
      <c r="G11" s="22"/>
    </row>
    <row r="12" spans="1:11">
      <c r="B12" s="13" t="s">
        <v>14</v>
      </c>
      <c r="C12" s="2">
        <v>0.5</v>
      </c>
      <c r="G12" s="15"/>
    </row>
    <row r="13" spans="1:11">
      <c r="B13" s="1" t="s">
        <v>47</v>
      </c>
      <c r="D13" s="5">
        <f>160.95*$C$8</f>
        <v>5295.2549999999992</v>
      </c>
      <c r="G13" s="51" t="s">
        <v>48</v>
      </c>
      <c r="H13" s="51"/>
      <c r="I13" s="51"/>
      <c r="J13" s="1" t="s">
        <v>17</v>
      </c>
      <c r="K13" s="1" t="s">
        <v>49</v>
      </c>
    </row>
    <row r="14" spans="1:11" s="16" customFormat="1">
      <c r="A14" s="16">
        <v>3</v>
      </c>
      <c r="B14" s="16" t="s">
        <v>15</v>
      </c>
      <c r="D14" s="17">
        <f>205.19*$C$8</f>
        <v>6750.7509999999993</v>
      </c>
      <c r="G14" s="22">
        <v>1.4E-3</v>
      </c>
      <c r="H14" s="17">
        <f>0.28*$C$8</f>
        <v>9.2119999999999997</v>
      </c>
      <c r="I14" s="16" t="s">
        <v>16</v>
      </c>
      <c r="J14" s="16" t="s">
        <v>17</v>
      </c>
      <c r="K14" s="16" t="s">
        <v>18</v>
      </c>
    </row>
    <row r="15" spans="1:11">
      <c r="B15" s="1" t="s">
        <v>50</v>
      </c>
      <c r="D15" s="5">
        <f>385.16*$C$8</f>
        <v>12671.764000000001</v>
      </c>
      <c r="G15" s="24"/>
      <c r="H15" s="5"/>
      <c r="J15" s="1" t="s">
        <v>17</v>
      </c>
      <c r="K15" s="1" t="s">
        <v>18</v>
      </c>
    </row>
    <row r="16" spans="1:11" s="16" customFormat="1">
      <c r="A16" s="16">
        <v>8</v>
      </c>
      <c r="B16" s="16" t="s">
        <v>19</v>
      </c>
      <c r="D16" s="17">
        <f>423.93*$C$8</f>
        <v>13947.297</v>
      </c>
      <c r="G16" s="22">
        <v>8.3000000000000001E-3</v>
      </c>
      <c r="H16" s="17">
        <f>3.51*$C$8</f>
        <v>115.47899999999998</v>
      </c>
      <c r="I16" s="16" t="s">
        <v>16</v>
      </c>
      <c r="J16" s="16" t="s">
        <v>17</v>
      </c>
      <c r="K16" s="16" t="s">
        <v>20</v>
      </c>
    </row>
    <row r="17" spans="1:11">
      <c r="B17" s="1" t="s">
        <v>51</v>
      </c>
      <c r="D17" s="5">
        <f>127.99*$C$8</f>
        <v>4210.8710000000001</v>
      </c>
      <c r="G17" s="51" t="s">
        <v>48</v>
      </c>
      <c r="H17" s="51"/>
      <c r="I17" s="51"/>
      <c r="J17" s="1" t="s">
        <v>17</v>
      </c>
    </row>
    <row r="18" spans="1:11">
      <c r="B18" s="1" t="s">
        <v>52</v>
      </c>
      <c r="D18" s="5">
        <f>100.55*$C$8</f>
        <v>3308.0949999999998</v>
      </c>
      <c r="G18" s="51" t="s">
        <v>48</v>
      </c>
      <c r="H18" s="51"/>
      <c r="I18" s="51"/>
      <c r="J18" s="1" t="s">
        <v>17</v>
      </c>
    </row>
    <row r="19" spans="1:11" s="16" customFormat="1">
      <c r="A19" s="16">
        <v>4</v>
      </c>
      <c r="B19" s="16" t="s">
        <v>25</v>
      </c>
      <c r="D19" s="17">
        <f>1133*$C$8</f>
        <v>37275.699999999997</v>
      </c>
      <c r="G19" s="22">
        <v>5.5999999999999999E-3</v>
      </c>
      <c r="H19" s="17">
        <f>6.46*$C$8</f>
        <v>212.53399999999999</v>
      </c>
      <c r="I19" s="16" t="s">
        <v>16</v>
      </c>
      <c r="J19" s="16" t="s">
        <v>26</v>
      </c>
      <c r="K19" s="16" t="s">
        <v>27</v>
      </c>
    </row>
    <row r="20" spans="1:11" s="16" customFormat="1">
      <c r="A20" s="16">
        <v>5</v>
      </c>
      <c r="B20" s="16" t="s">
        <v>28</v>
      </c>
      <c r="D20" s="17">
        <f>240.87*$C$8</f>
        <v>7924.6229999999996</v>
      </c>
      <c r="G20" s="22">
        <v>2.1999999999999999E-2</v>
      </c>
      <c r="H20" s="17">
        <f>5.24*$C$8</f>
        <v>172.39599999999999</v>
      </c>
      <c r="I20" s="16" t="s">
        <v>16</v>
      </c>
      <c r="J20" s="16" t="s">
        <v>26</v>
      </c>
      <c r="K20" s="16" t="s">
        <v>29</v>
      </c>
    </row>
    <row r="21" spans="1:11">
      <c r="B21" s="1" t="s">
        <v>53</v>
      </c>
      <c r="D21" s="5">
        <f>940.66*$C$8</f>
        <v>30947.713999999996</v>
      </c>
      <c r="G21" s="15">
        <v>1.9E-3</v>
      </c>
      <c r="H21" s="5">
        <f>1.75*$C$8</f>
        <v>57.574999999999996</v>
      </c>
      <c r="I21" s="1" t="s">
        <v>22</v>
      </c>
      <c r="J21" s="1" t="s">
        <v>23</v>
      </c>
      <c r="K21" s="1" t="s">
        <v>20</v>
      </c>
    </row>
    <row r="22" spans="1:11" s="16" customFormat="1">
      <c r="A22" s="16">
        <v>7</v>
      </c>
      <c r="B22" s="16" t="s">
        <v>21</v>
      </c>
      <c r="D22" s="17">
        <f>260.22*$C$8</f>
        <v>8561.2380000000012</v>
      </c>
      <c r="G22" s="22">
        <v>0</v>
      </c>
      <c r="H22" s="17">
        <v>0</v>
      </c>
      <c r="I22" s="16" t="s">
        <v>22</v>
      </c>
      <c r="J22" s="16" t="s">
        <v>23</v>
      </c>
      <c r="K22" s="16" t="s">
        <v>24</v>
      </c>
    </row>
    <row r="26" spans="1:11">
      <c r="B26" s="14" t="s">
        <v>30</v>
      </c>
      <c r="C26" s="2">
        <v>0.15</v>
      </c>
      <c r="G26" s="15"/>
    </row>
    <row r="27" spans="1:11" s="16" customFormat="1">
      <c r="A27" s="16">
        <v>6</v>
      </c>
      <c r="B27" s="16" t="s">
        <v>31</v>
      </c>
      <c r="D27" s="17">
        <f>681.95*$C$8</f>
        <v>22436.154999999999</v>
      </c>
      <c r="G27" s="22">
        <v>1.0500000000000001E-2</v>
      </c>
      <c r="H27" s="17">
        <f>7.13*$C$8</f>
        <v>234.577</v>
      </c>
      <c r="I27" s="16" t="s">
        <v>16</v>
      </c>
      <c r="J27" s="16" t="s">
        <v>32</v>
      </c>
      <c r="K27" s="16" t="s">
        <v>33</v>
      </c>
    </row>
    <row r="28" spans="1:11">
      <c r="B28" s="1" t="s">
        <v>54</v>
      </c>
      <c r="D28" s="5">
        <f>741.75*$C$8</f>
        <v>24403.575000000001</v>
      </c>
      <c r="G28" s="15">
        <v>0.01</v>
      </c>
      <c r="H28" s="5">
        <f>7.38*$C$8</f>
        <v>242.80199999999999</v>
      </c>
      <c r="I28" s="1" t="s">
        <v>16</v>
      </c>
    </row>
    <row r="29" spans="1:11">
      <c r="B29" s="1" t="s">
        <v>55</v>
      </c>
      <c r="D29" s="5">
        <f>211.65*$C$8</f>
        <v>6963.2849999999999</v>
      </c>
      <c r="G29" s="51" t="s">
        <v>48</v>
      </c>
      <c r="H29" s="51"/>
      <c r="I29" s="51"/>
    </row>
    <row r="30" spans="1:11">
      <c r="B30" s="13" t="s">
        <v>34</v>
      </c>
      <c r="C30" s="2">
        <v>0.1</v>
      </c>
    </row>
    <row r="31" spans="1:11">
      <c r="B31" s="1" t="s">
        <v>35</v>
      </c>
      <c r="C31" s="3">
        <v>0.05</v>
      </c>
      <c r="D31" s="4">
        <v>366</v>
      </c>
      <c r="F31" s="47"/>
      <c r="G31" s="12">
        <v>9.5299999999999996E-2</v>
      </c>
      <c r="J31" s="1" t="s">
        <v>36</v>
      </c>
    </row>
    <row r="32" spans="1:11">
      <c r="B32" s="1" t="s">
        <v>37</v>
      </c>
      <c r="C32" s="3">
        <v>0.05</v>
      </c>
      <c r="D32" s="4">
        <v>140</v>
      </c>
      <c r="F32" s="47"/>
      <c r="G32" s="15">
        <v>8.0600000000000005E-2</v>
      </c>
      <c r="I32" s="1" t="s">
        <v>38</v>
      </c>
      <c r="J32" s="1" t="s">
        <v>39</v>
      </c>
    </row>
  </sheetData>
  <mergeCells count="4">
    <mergeCell ref="G29:I29"/>
    <mergeCell ref="G18:I18"/>
    <mergeCell ref="G17:I17"/>
    <mergeCell ref="G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chananan noppanamas</dc:creator>
  <cp:keywords/>
  <dc:description/>
  <cp:lastModifiedBy/>
  <cp:revision/>
  <dcterms:created xsi:type="dcterms:W3CDTF">2026-06-13T06:27:58Z</dcterms:created>
  <dcterms:modified xsi:type="dcterms:W3CDTF">2026-06-21T05:22:57Z</dcterms:modified>
  <cp:category/>
  <cp:contentStatus/>
</cp:coreProperties>
</file>